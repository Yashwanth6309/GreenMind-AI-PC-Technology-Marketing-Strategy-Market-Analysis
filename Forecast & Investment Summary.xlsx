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, Investment &amp; Forecasts" sheetId="1" r:id="rId5"/>
  </sheets>
  <definedNames/>
  <calcPr/>
</workbook>
</file>

<file path=xl/sharedStrings.xml><?xml version="1.0" encoding="utf-8"?>
<sst xmlns="http://schemas.openxmlformats.org/spreadsheetml/2006/main" count="34" uniqueCount="34">
  <si>
    <r>
      <rPr>
        <rFont val="Lato"/>
        <color theme="1"/>
        <sz val="11.0"/>
      </rPr>
      <t xml:space="preserve">Columns E to G are calculated based on the </t>
    </r>
    <r>
      <rPr>
        <rFont val="Lato"/>
        <b/>
        <color theme="1"/>
        <sz val="11.0"/>
      </rPr>
      <t>RandBetween</t>
    </r>
    <r>
      <rPr>
        <rFont val="Lato"/>
        <color theme="1"/>
        <sz val="11.0"/>
      </rPr>
      <t xml:space="preserve"> formula 
set from </t>
    </r>
    <r>
      <rPr>
        <rFont val="Lato"/>
        <b/>
        <color theme="1"/>
        <sz val="11.0"/>
      </rPr>
      <t>800</t>
    </r>
    <r>
      <rPr>
        <rFont val="Lato"/>
        <color theme="1"/>
        <sz val="11.0"/>
      </rPr>
      <t xml:space="preserve"> to </t>
    </r>
    <r>
      <rPr>
        <rFont val="Lato"/>
        <b/>
        <color theme="1"/>
        <sz val="11.0"/>
      </rPr>
      <t>850</t>
    </r>
    <r>
      <rPr>
        <rFont val="Lato"/>
        <color theme="1"/>
        <sz val="11.0"/>
      </rPr>
      <t xml:space="preserve"> units in column G (</t>
    </r>
    <r>
      <rPr>
        <rFont val="Lato"/>
        <b/>
        <color theme="1"/>
        <sz val="11.0"/>
      </rPr>
      <t>no. of units sold per month</t>
    </r>
    <r>
      <rPr>
        <rFont val="Lato"/>
        <color theme="1"/>
        <sz val="11.0"/>
      </rPr>
      <t xml:space="preserve">)
Considering seasonal sales in </t>
    </r>
    <r>
      <rPr>
        <rFont val="Lato"/>
        <b/>
        <color theme="1"/>
        <sz val="11.0"/>
      </rPr>
      <t>Summer</t>
    </r>
    <r>
      <rPr>
        <rFont val="Lato"/>
        <color theme="1"/>
        <sz val="11.0"/>
      </rPr>
      <t xml:space="preserve"> and </t>
    </r>
    <r>
      <rPr>
        <rFont val="Lato"/>
        <b/>
        <color theme="1"/>
        <sz val="11.0"/>
      </rPr>
      <t>Winter</t>
    </r>
    <r>
      <rPr>
        <rFont val="Lato"/>
        <color theme="1"/>
        <sz val="11.0"/>
      </rPr>
      <t xml:space="preserve"> (for </t>
    </r>
    <r>
      <rPr>
        <rFont val="Lato"/>
        <b/>
        <color theme="1"/>
        <sz val="11.0"/>
      </rPr>
      <t>July 4</t>
    </r>
    <r>
      <rPr>
        <rFont val="Lato"/>
        <color theme="1"/>
        <sz val="11.0"/>
      </rPr>
      <t xml:space="preserve"> and </t>
    </r>
    <r>
      <rPr>
        <rFont val="Lato"/>
        <b/>
        <color theme="1"/>
        <sz val="11.0"/>
      </rPr>
      <t>Christmas</t>
    </r>
    <r>
      <rPr>
        <rFont val="Lato"/>
        <color theme="1"/>
        <sz val="11.0"/>
      </rPr>
      <t>)</t>
    </r>
  </si>
  <si>
    <t>Month</t>
  </si>
  <si>
    <t>Revenue (Mill)</t>
  </si>
  <si>
    <t>Revenue</t>
  </si>
  <si>
    <t>Units 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</si>
  <si>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</si>
  <si>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</si>
  <si>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</si>
  <si>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</si>
  <si>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</si>
  <si>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</si>
  <si>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</si>
  <si>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</si>
  <si>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</si>
  <si>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</si>
  <si>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</si>
  <si>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</si>
  <si>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Pricing Value</t>
  </si>
  <si>
    <t>Estimates</t>
  </si>
  <si>
    <t>Manufacturing Cost 
(per Unit)</t>
  </si>
  <si>
    <t>Annual Sales Target</t>
  </si>
  <si>
    <t>10,000 units</t>
  </si>
  <si>
    <t>R&amp;D Expenses</t>
  </si>
  <si>
    <t>Operating Expenses</t>
  </si>
  <si>
    <t>Patents/Legal Cost</t>
  </si>
  <si>
    <t>Sales Forecast 
(Total Revenue)</t>
  </si>
  <si>
    <t>Floor Price/Unit</t>
  </si>
  <si>
    <t>Initial Investment 
(Cost to Company)</t>
  </si>
  <si>
    <t>Sale Price/Unit</t>
  </si>
  <si>
    <t>Net Annual Profit</t>
  </si>
  <si>
    <t>Gross Margin/Unit</t>
  </si>
  <si>
    <t>Gross Margin %</t>
  </si>
  <si>
    <t>Payback Period 
(Years)</t>
  </si>
  <si>
    <t>Return on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</si>
</sst>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[$$]#,##0"/>
    <numFmt numFmtId="166" formatCode="&quot;$&quot;#,##0"/>
  </numFmts>
  <fonts count="3">
    <font>
      <sz val="10.0"/>
      <color rgb="FF000000"/>
      <name val="Arial"/>
      <scheme val="minor"/>
    </font>
    <font>
      <sz val="11.0"/>
      <color theme="1"/>
      <name val="Lato"/>
    </font>
    <font>
      <b/>
      <sz val="11.0"/>
      <color theme="1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2" numFmtId="3" xfId="0" applyAlignment="1" applyFont="1" applyNumberFormat="1">
      <alignment horizontal="right" readingOrder="0" vertical="center"/>
    </xf>
    <xf borderId="0" fillId="0" fontId="2" numFmtId="166" xfId="0" applyAlignment="1" applyFont="1" applyNumberFormat="1">
      <alignment readingOrder="0" vertical="center"/>
    </xf>
    <xf borderId="0" fillId="0" fontId="2" numFmtId="166" xfId="0" applyAlignment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Revenue Forecast (in Millions)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07951482479784366"/>
          <c:w val="0.9381666666666668"/>
          <c:h val="0.8219676549865227"/>
        </c:manualLayout>
      </c:layout>
      <c:lineChart>
        <c:varyColors val="0"/>
        <c:ser>
          <c:idx val="0"/>
          <c:order val="0"/>
          <c:tx>
            <c:strRef>
              <c:f>'Pricing, Investment &amp; Forecasts'!$B$2</c:f>
            </c:strRef>
          </c:tx>
          <c:spPr>
            <a:ln cmpd="sng" w="38100">
              <a:solidFill>
                <a:srgbClr val="4A86E8">
                  <a:alpha val="100000"/>
                </a:srgbClr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38761D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'Pricing, Investment &amp; Forecasts'!$A$3:$A$14</c:f>
            </c:strRef>
          </c:cat>
          <c:val>
            <c:numRef>
              <c:f>'Pricing, Investment &amp; Forecasts'!$B$3:$B$14</c:f>
              <c:numCache/>
            </c:numRef>
          </c:val>
          <c:smooth val="1"/>
        </c:ser>
        <c:axId val="471780978"/>
        <c:axId val="1898118471"/>
      </c:lineChart>
      <c:catAx>
        <c:axId val="471780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118471"/>
      </c:catAx>
      <c:valAx>
        <c:axId val="1898118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780978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2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12.75"/>
    <col customWidth="1" min="4" max="4" width="18.38"/>
  </cols>
  <sheetData>
    <row r="1">
      <c r="A1" s="1"/>
      <c r="B1" s="1"/>
      <c r="C1" s="1"/>
      <c r="D1" s="1"/>
      <c r="E1" s="2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2" t="s">
        <v>5</v>
      </c>
      <c r="B3" s="6">
        <f t="shared" ref="B3:B14" si="1">C3/1000000</f>
        <v>2.45918</v>
      </c>
      <c r="C3" s="7">
        <f t="shared" ref="C3:C14" si="2">D3*2999</f>
        <v>2459180</v>
      </c>
      <c r="D3" s="2">
        <v>820.0</v>
      </c>
      <c r="E3" s="6">
        <f t="shared" ref="E3:E14" si="3">F3/1000000</f>
        <v>2.444185</v>
      </c>
      <c r="F3" s="7">
        <f t="shared" ref="F3:F14" si="4">G3*2999</f>
        <v>2444185</v>
      </c>
      <c r="G3" s="3">
        <f t="shared" ref="G3:G14" si="5">RANDBETWEEN(800,850)</f>
        <v>815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2" t="s">
        <v>6</v>
      </c>
      <c r="B4" s="6">
        <f t="shared" si="1"/>
        <v>2.507164</v>
      </c>
      <c r="C4" s="7">
        <f t="shared" si="2"/>
        <v>2507164</v>
      </c>
      <c r="D4" s="3">
        <v>836.0</v>
      </c>
      <c r="E4" s="6">
        <f t="shared" si="3"/>
        <v>2.486171</v>
      </c>
      <c r="F4" s="7">
        <f t="shared" si="4"/>
        <v>2486171</v>
      </c>
      <c r="G4" s="3">
        <f t="shared" si="5"/>
        <v>829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" t="s">
        <v>7</v>
      </c>
      <c r="B5" s="6">
        <f t="shared" si="1"/>
        <v>2.486171</v>
      </c>
      <c r="C5" s="7">
        <f t="shared" si="2"/>
        <v>2486171</v>
      </c>
      <c r="D5" s="3">
        <v>829.0</v>
      </c>
      <c r="E5" s="6">
        <f t="shared" si="3"/>
        <v>2.465178</v>
      </c>
      <c r="F5" s="7">
        <f t="shared" si="4"/>
        <v>2465178</v>
      </c>
      <c r="G5" s="3">
        <f t="shared" si="5"/>
        <v>822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" t="s">
        <v>8</v>
      </c>
      <c r="B6" s="6">
        <f t="shared" si="1"/>
        <v>2.498167</v>
      </c>
      <c r="C6" s="7">
        <f t="shared" si="2"/>
        <v>2498167</v>
      </c>
      <c r="D6" s="2">
        <v>833.0</v>
      </c>
      <c r="E6" s="6">
        <f t="shared" si="3"/>
        <v>2.51916</v>
      </c>
      <c r="F6" s="7">
        <f t="shared" si="4"/>
        <v>2519160</v>
      </c>
      <c r="G6" s="3">
        <f t="shared" si="5"/>
        <v>840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" t="s">
        <v>9</v>
      </c>
      <c r="B7" s="6">
        <f t="shared" si="1"/>
        <v>2.513162</v>
      </c>
      <c r="C7" s="7">
        <f t="shared" si="2"/>
        <v>2513162</v>
      </c>
      <c r="D7" s="2">
        <v>838.0</v>
      </c>
      <c r="E7" s="6">
        <f t="shared" si="3"/>
        <v>2.414195</v>
      </c>
      <c r="F7" s="7">
        <f t="shared" si="4"/>
        <v>2414195</v>
      </c>
      <c r="G7" s="3">
        <f t="shared" si="5"/>
        <v>805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" t="s">
        <v>10</v>
      </c>
      <c r="B8" s="6">
        <f t="shared" si="1"/>
        <v>2.474175</v>
      </c>
      <c r="C8" s="7">
        <f t="shared" si="2"/>
        <v>2474175</v>
      </c>
      <c r="D8" s="3">
        <v>825.0</v>
      </c>
      <c r="E8" s="6">
        <f t="shared" si="3"/>
        <v>2.438187</v>
      </c>
      <c r="F8" s="7">
        <f t="shared" si="4"/>
        <v>2438187</v>
      </c>
      <c r="G8" s="3">
        <f t="shared" si="5"/>
        <v>813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" t="s">
        <v>11</v>
      </c>
      <c r="B9" s="6">
        <f t="shared" si="1"/>
        <v>2.51916</v>
      </c>
      <c r="C9" s="7">
        <f t="shared" si="2"/>
        <v>2519160</v>
      </c>
      <c r="D9" s="2">
        <v>840.0</v>
      </c>
      <c r="E9" s="6">
        <f t="shared" si="3"/>
        <v>2.477174</v>
      </c>
      <c r="F9" s="7">
        <f t="shared" si="4"/>
        <v>2477174</v>
      </c>
      <c r="G9" s="3">
        <f t="shared" si="5"/>
        <v>826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" t="s">
        <v>12</v>
      </c>
      <c r="B10" s="6">
        <f t="shared" si="1"/>
        <v>2.531156</v>
      </c>
      <c r="C10" s="7">
        <f t="shared" si="2"/>
        <v>2531156</v>
      </c>
      <c r="D10" s="3">
        <v>844.0</v>
      </c>
      <c r="E10" s="6">
        <f t="shared" si="3"/>
        <v>2.474175</v>
      </c>
      <c r="F10" s="7">
        <f t="shared" si="4"/>
        <v>2474175</v>
      </c>
      <c r="G10" s="3">
        <f t="shared" si="5"/>
        <v>825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" t="s">
        <v>13</v>
      </c>
      <c r="B11" s="6">
        <f t="shared" si="1"/>
        <v>2.474175</v>
      </c>
      <c r="C11" s="7">
        <f t="shared" si="2"/>
        <v>2474175</v>
      </c>
      <c r="D11" s="2">
        <v>825.0</v>
      </c>
      <c r="E11" s="6">
        <f t="shared" si="3"/>
        <v>2.531156</v>
      </c>
      <c r="F11" s="7">
        <f t="shared" si="4"/>
        <v>2531156</v>
      </c>
      <c r="G11" s="3">
        <f t="shared" si="5"/>
        <v>844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" t="s">
        <v>14</v>
      </c>
      <c r="B12" s="6">
        <f t="shared" si="1"/>
        <v>2.45918</v>
      </c>
      <c r="C12" s="7">
        <f t="shared" si="2"/>
        <v>2459180</v>
      </c>
      <c r="D12" s="2">
        <v>820.0</v>
      </c>
      <c r="E12" s="6">
        <f t="shared" si="3"/>
        <v>2.474175</v>
      </c>
      <c r="F12" s="7">
        <f t="shared" si="4"/>
        <v>2474175</v>
      </c>
      <c r="G12" s="3">
        <f t="shared" si="5"/>
        <v>825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" t="s">
        <v>15</v>
      </c>
      <c r="B13" s="6">
        <f t="shared" si="1"/>
        <v>2.504165</v>
      </c>
      <c r="C13" s="7">
        <f t="shared" si="2"/>
        <v>2504165</v>
      </c>
      <c r="D13" s="3">
        <v>835.0</v>
      </c>
      <c r="E13" s="6">
        <f t="shared" si="3"/>
        <v>2.435188</v>
      </c>
      <c r="F13" s="7">
        <f t="shared" si="4"/>
        <v>2435188</v>
      </c>
      <c r="G13" s="3">
        <f t="shared" si="5"/>
        <v>812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" t="s">
        <v>16</v>
      </c>
      <c r="B14" s="6">
        <f t="shared" si="1"/>
        <v>2.564145</v>
      </c>
      <c r="C14" s="7">
        <f t="shared" si="2"/>
        <v>2564145</v>
      </c>
      <c r="D14" s="2">
        <v>855.0</v>
      </c>
      <c r="E14" s="6">
        <f t="shared" si="3"/>
        <v>2.471176</v>
      </c>
      <c r="F14" s="7">
        <f t="shared" si="4"/>
        <v>2471176</v>
      </c>
      <c r="G14" s="3">
        <f t="shared" si="5"/>
        <v>824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8">
        <f t="shared" ref="B15:G15" si="6">SUM(B3:B14)</f>
        <v>29.99</v>
      </c>
      <c r="C15" s="9">
        <f t="shared" si="6"/>
        <v>29990000</v>
      </c>
      <c r="D15" s="10">
        <f t="shared" si="6"/>
        <v>10000</v>
      </c>
      <c r="E15" s="8">
        <f t="shared" si="6"/>
        <v>29.63012</v>
      </c>
      <c r="F15" s="9">
        <f t="shared" si="6"/>
        <v>29630120</v>
      </c>
      <c r="G15" s="10">
        <f t="shared" si="6"/>
        <v>9880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4"/>
      <c r="B17" s="5"/>
      <c r="C17" s="4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4"/>
      <c r="B18" s="5"/>
      <c r="C18" s="4"/>
      <c r="D18" s="4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4"/>
      <c r="B19" s="5" t="s">
        <v>17</v>
      </c>
      <c r="C19" s="4"/>
      <c r="D19" s="2"/>
      <c r="E19" s="11" t="s">
        <v>18</v>
      </c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" t="s">
        <v>19</v>
      </c>
      <c r="B20" s="12">
        <v>2125.0</v>
      </c>
      <c r="C20" s="2"/>
      <c r="D20" s="2" t="s">
        <v>20</v>
      </c>
      <c r="E20" s="11" t="s">
        <v>21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" t="s">
        <v>22</v>
      </c>
      <c r="B21" s="12">
        <v>380000.0</v>
      </c>
      <c r="C21" s="3"/>
      <c r="D21" s="2" t="s">
        <v>23</v>
      </c>
      <c r="E21" s="12">
        <v>2000000.0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" t="s">
        <v>24</v>
      </c>
      <c r="B22" s="12">
        <v>20000.0</v>
      </c>
      <c r="C22" s="3"/>
      <c r="D22" s="2" t="s">
        <v>25</v>
      </c>
      <c r="E22" s="13">
        <f>B24*10000</f>
        <v>29990000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" t="s">
        <v>26</v>
      </c>
      <c r="B23" s="13">
        <f>2125+(380000+20000)/10000</f>
        <v>2165</v>
      </c>
      <c r="C23" s="3"/>
      <c r="D23" s="2" t="s">
        <v>27</v>
      </c>
      <c r="E23" s="13">
        <f>B23*10000</f>
        <v>21650000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" t="s">
        <v>28</v>
      </c>
      <c r="B24" s="12">
        <v>2999.0</v>
      </c>
      <c r="C24" s="3"/>
      <c r="D24" s="2" t="s">
        <v>29</v>
      </c>
      <c r="E24" s="13">
        <f>E22-E23-E21</f>
        <v>6340000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" t="s">
        <v>30</v>
      </c>
      <c r="B25" s="13">
        <f>B24-B23</f>
        <v>834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C26" s="3"/>
      <c r="D26" s="2" t="s">
        <v>31</v>
      </c>
      <c r="E26" s="14">
        <f>B25/B24</f>
        <v>0.2780926976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"/>
      <c r="B27" s="11"/>
      <c r="C27" s="3"/>
      <c r="D27" s="2" t="s">
        <v>32</v>
      </c>
      <c r="E27" s="15">
        <f>CEILING((E23/E24), 0.01)</f>
        <v>3.42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1"/>
      <c r="B28" s="1"/>
      <c r="C28" s="3"/>
      <c r="D28" s="2" t="s">
        <v>33</v>
      </c>
      <c r="E28" s="16">
        <f>(E24/E23)*100</f>
        <v>29.28406467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1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1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1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1"/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"/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1"/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</sheetData>
  <mergeCells count="1">
    <mergeCell ref="E1:I1"/>
  </mergeCells>
  <drawing r:id="rId1"/>
</worksheet>
</file>